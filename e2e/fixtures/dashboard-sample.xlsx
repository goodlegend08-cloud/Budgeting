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September" sheetId="2" r:id="rId6"/>
    <sheet state="visible" name="October" sheetId="3" r:id="rId7"/>
    <sheet state="visible" name="November" sheetId="4" r:id="rId8"/>
    <sheet state="visible" name="December" sheetId="5" r:id="rId9"/>
  </sheets>
  <definedNames/>
  <calcPr/>
</workbook>
</file>

<file path=xl/sharedStrings.xml><?xml version="1.0" encoding="utf-8"?>
<sst xmlns="http://schemas.openxmlformats.org/spreadsheetml/2006/main" count="154" uniqueCount="58">
  <si>
    <t>Annual Budget Dashboard - 2026</t>
  </si>
  <si>
    <t>October 2026 Budget</t>
  </si>
  <si>
    <t>September 2026 Budget</t>
  </si>
  <si>
    <t>November 2026 Budget</t>
  </si>
  <si>
    <t>Month</t>
  </si>
  <si>
    <t>Block 1: My Salary &amp; Take-Home Pay</t>
  </si>
  <si>
    <t>Income</t>
  </si>
  <si>
    <t>Deductions</t>
  </si>
  <si>
    <t>Net Pay</t>
  </si>
  <si>
    <t>Debts &amp; Needs</t>
  </si>
  <si>
    <t>Leftover Money</t>
  </si>
  <si>
    <t>January</t>
  </si>
  <si>
    <t>Item / Name</t>
  </si>
  <si>
    <t>February</t>
  </si>
  <si>
    <t>March</t>
  </si>
  <si>
    <t>Amount (₱)</t>
  </si>
  <si>
    <t>April</t>
  </si>
  <si>
    <t>May</t>
  </si>
  <si>
    <t>SG2 Basic</t>
  </si>
  <si>
    <t>June</t>
  </si>
  <si>
    <t>July</t>
  </si>
  <si>
    <t>August</t>
  </si>
  <si>
    <t>PERA</t>
  </si>
  <si>
    <t>September</t>
  </si>
  <si>
    <t>Total Gross</t>
  </si>
  <si>
    <t>Standard Deductions</t>
  </si>
  <si>
    <t>Net Take-Home</t>
  </si>
  <si>
    <t>October</t>
  </si>
  <si>
    <t>Block 2: Bills &amp; Debts to Pay (Babayaran sa Sahod)</t>
  </si>
  <si>
    <t>Date</t>
  </si>
  <si>
    <t>Status / Done?</t>
  </si>
  <si>
    <t>November</t>
  </si>
  <si>
    <t>Utang kay Justine</t>
  </si>
  <si>
    <t>Pending</t>
  </si>
  <si>
    <t>December</t>
  </si>
  <si>
    <t>Utang kay Kenneth</t>
  </si>
  <si>
    <t>Total Debts</t>
  </si>
  <si>
    <t>Utang kay Tatay</t>
  </si>
  <si>
    <t>Additional Utang kay tatay</t>
  </si>
  <si>
    <t>Sept 30</t>
  </si>
  <si>
    <t>Block 3: Needs &amp; Expenses (List ng Need)</t>
  </si>
  <si>
    <t>YTD Total</t>
  </si>
  <si>
    <t>Savings</t>
  </si>
  <si>
    <t>Necessities</t>
  </si>
  <si>
    <t>Total Needs</t>
  </si>
  <si>
    <t>Bottom Line Box</t>
  </si>
  <si>
    <t>Money Leftover / Savings</t>
  </si>
  <si>
    <t>Gasoline</t>
  </si>
  <si>
    <t>Portable Vaccum</t>
  </si>
  <si>
    <t xml:space="preserve">Mini Washing </t>
  </si>
  <si>
    <t xml:space="preserve">Block 4: Gastos Before makuha ang sahod ko </t>
  </si>
  <si>
    <t>Tatak ng Notary</t>
  </si>
  <si>
    <t>Landbank Opening</t>
  </si>
  <si>
    <t>Sept 24</t>
  </si>
  <si>
    <t>Done</t>
  </si>
  <si>
    <t>Passport Photos &amp; Laminate ID</t>
  </si>
  <si>
    <t>Sept 26</t>
  </si>
  <si>
    <t>December 2026 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</si>
</sst>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₱&quot;#,##0.00"/>
    <numFmt numFmtId="165" formatCode="mmm d"/>
  </numFmts>
  <fonts count="7">
    <font>
      <sz val="10.0"/>
      <color rgb="FF000000"/>
      <name val="Arial"/>
      <scheme val="minor"/>
    </font>
    <font>
      <b/>
      <sz val="14.0"/>
      <color theme="1"/>
      <name val="Montserrat"/>
    </font>
    <font>
      <sz val="10.0"/>
      <color rgb="FF1A1B1F"/>
      <name val="Roboto"/>
    </font>
    <font>
      <b/>
      <sz val="11.0"/>
      <color rgb="FFFFFFFF"/>
      <name val="Montserrat"/>
    </font>
    <font>
      <b/>
      <sz val="11.0"/>
      <color theme="1"/>
      <name val="Montserrat"/>
    </font>
    <font>
      <b/>
      <sz val="10.0"/>
      <color rgb="FF1A1B1F"/>
      <name val="Roboto"/>
    </font>
    <font>
      <b/>
      <sz val="12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3" numFmtId="0" xfId="0" applyBorder="1" applyFont="1"/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164" xfId="0" applyBorder="1" applyFont="1" applyNumberFormat="1"/>
    <xf borderId="0" fillId="0" fontId="5" numFmtId="0" xfId="0" applyFont="1"/>
    <xf borderId="0" fillId="0" fontId="4" numFmtId="0" xfId="0" applyFont="1"/>
    <xf borderId="0" fillId="0" fontId="4" numFmtId="164" xfId="0" applyFont="1" applyNumberFormat="1"/>
    <xf borderId="0" fillId="0" fontId="6" numFmtId="0" xfId="0" applyAlignment="1" applyFont="1">
      <alignment readingOrder="0"/>
    </xf>
    <xf borderId="1" fillId="0" fontId="2" numFmtId="165" xfId="0" applyAlignment="1" applyBorder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Fill="1" applyFont="1"/>
    <xf borderId="0" fillId="2" fontId="4" numFmtId="164" xfId="0" applyFill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45E91"/>
          <bgColor rgb="FF44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5">
    <tableStyle count="3" pivot="0" name="2026-style">
      <tableStyleElement dxfId="1" type="headerRow"/>
      <tableStyleElement dxfId="2" type="firstRowStripe"/>
      <tableStyleElement dxfId="3" type="secondRowStripe"/>
    </tableStyle>
    <tableStyle count="3" pivot="0" name="September-style">
      <tableStyleElement dxfId="1" type="headerRow"/>
      <tableStyleElement dxfId="2" type="firstRowStripe"/>
      <tableStyleElement dxfId="3" type="secondRowStripe"/>
    </tableStyle>
    <tableStyle count="3" pivot="0" name="October-style">
      <tableStyleElement dxfId="1" type="headerRow"/>
      <tableStyleElement dxfId="2" type="firstRowStripe"/>
      <tableStyleElement dxfId="3" type="secondRowStripe"/>
    </tableStyle>
    <tableStyle count="3" pivot="0" name="November-style">
      <tableStyleElement dxfId="1" type="headerRow"/>
      <tableStyleElement dxfId="2" type="firstRowStripe"/>
      <tableStyleElement dxfId="3" type="secondRowStripe"/>
    </tableStyle>
    <tableStyle count="3" pivot="0" name="October-style 2">
      <tableStyleElement dxfId="1" type="headerRow"/>
      <tableStyleElement dxfId="2" type="firstRowStripe"/>
      <tableStyleElement dxfId="3" type="secondRowStripe"/>
    </tableStyle>
    <tableStyle count="3" pivot="0" name="September-style 2">
      <tableStyleElement dxfId="1" type="headerRow"/>
      <tableStyleElement dxfId="2" type="firstRowStripe"/>
      <tableStyleElement dxfId="3" type="secondRowStripe"/>
    </tableStyle>
    <tableStyle count="3" pivot="0" name="October-style 3">
      <tableStyleElement dxfId="1" type="headerRow"/>
      <tableStyleElement dxfId="2" type="firstRowStripe"/>
      <tableStyleElement dxfId="3" type="secondRowStripe"/>
    </tableStyle>
    <tableStyle count="3" pivot="0" name="September-style 3">
      <tableStyleElement dxfId="1" type="headerRow"/>
      <tableStyleElement dxfId="2" type="firstRowStripe"/>
      <tableStyleElement dxfId="3" type="secondRowStripe"/>
    </tableStyle>
    <tableStyle count="3" pivot="0" name="November-style 2">
      <tableStyleElement dxfId="1" type="headerRow"/>
      <tableStyleElement dxfId="2" type="firstRowStripe"/>
      <tableStyleElement dxfId="3" type="secondRowStripe"/>
    </tableStyle>
    <tableStyle count="3" pivot="0" name="September-style 4">
      <tableStyleElement dxfId="1" type="headerRow"/>
      <tableStyleElement dxfId="2" type="firstRowStripe"/>
      <tableStyleElement dxfId="3" type="secondRowStripe"/>
    </tableStyle>
    <tableStyle count="3" pivot="0" name="November-style 3">
      <tableStyleElement dxfId="1" type="headerRow"/>
      <tableStyleElement dxfId="2" type="firstRowStripe"/>
      <tableStyleElement dxfId="3" type="secondRowStripe"/>
    </tableStyle>
    <tableStyle count="2" pivot="0" name="September-style 5">
      <tableStyleElement dxfId="3" type="firstRowStripe"/>
      <tableStyleElement dxfId="2" type="secondRowStripe"/>
    </tableStyle>
    <tableStyle count="3" pivot="0" name="December-style">
      <tableStyleElement dxfId="1" type="headerRow"/>
      <tableStyleElement dxfId="2" type="firstRowStripe"/>
      <tableStyleElement dxfId="3" type="secondRowStripe"/>
    </tableStyle>
    <tableStyle count="3" pivot="0" name="December-style 2">
      <tableStyleElement dxfId="1" type="headerRow"/>
      <tableStyleElement dxfId="2" type="firstRowStripe"/>
      <tableStyleElement dxfId="3" type="secondRowStripe"/>
    </tableStyle>
    <tableStyle count="3" pivot="0" name="December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6" displayName="Table_3" name="Table_3" id="2">
  <tableColumns count="6">
    <tableColumn name="Month" id="1"/>
    <tableColumn name="Income" id="2"/>
    <tableColumn name="Deductions" id="3"/>
    <tableColumn name="Net Pay" id="4"/>
    <tableColumn name="Debts &amp; Needs" id="5"/>
    <tableColumn name="Leftover Money" id="6"/>
  </tableColumns>
  <tableStyleInfo name="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C4:E9" displayName="Table_1" name="Table_1" id="1">
  <tableColumns count="3">
    <tableColumn name="Column1" id="1"/>
    <tableColumn name="Column2" id="2"/>
    <tableColumn name="Column3" id="3"/>
  </tableColumns>
  <tableStyleInfo name="Septemb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C12:F17" displayName="Table_6" name="Table_6" id="6">
  <tableColumns count="4">
    <tableColumn name="Item / Name" id="1"/>
    <tableColumn name="Date" id="2"/>
    <tableColumn name="Amount (₱)" id="3"/>
    <tableColumn name="Status / Done?" id="4"/>
  </tableColumns>
  <tableStyleInfo name="September-style 2" showColumnStripes="0" showFirstColumn="1" showLastColumn="1" showRowStripes="1"/>
</table>
</file>

<file path=xl/tables/table4.xml><?xml version="1.0" encoding="utf-8"?>
<table xmlns="http://schemas.openxmlformats.org/spreadsheetml/2006/main" ref="C20:F26" displayName="Table_7" name="Table_7" id="8">
  <tableColumns count="4">
    <tableColumn name="Item / Name" id="1"/>
    <tableColumn name="Date" id="2"/>
    <tableColumn name="Amount (₱)" id="3"/>
    <tableColumn name="Status / Done?" id="4"/>
  </tableColumns>
  <tableStyleInfo name="September-style 3" showColumnStripes="0" showFirstColumn="1" showLastColumn="1" showRowStripes="1"/>
</table>
</file>

<file path=xl/tables/table5.xml><?xml version="1.0" encoding="utf-8"?>
<table xmlns="http://schemas.openxmlformats.org/spreadsheetml/2006/main" headerRowCount="0" ref="C29:F29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September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C30:F33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September-style 5" showColumnStripes="0" showFirstColumn="1" showLastColumn="1" showRowStripes="1"/>
</table>
</file>

<file path=xl/tables/table7.xml><?xml version="1.0" encoding="utf-8"?>
<table xmlns="http://schemas.openxmlformats.org/spreadsheetml/2006/main" headerRowCount="0" ref="B4:D9" displayName="Table_2" name="Table_2" id="3">
  <tableColumns count="3">
    <tableColumn name="Column1" id="1"/>
    <tableColumn name="Column2" id="2"/>
    <tableColumn name="Column3" id="3"/>
  </tableColumns>
  <tableStyleInfo name="Octob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B12:E16" displayName="Table_5" name="Table_5" id="5">
  <tableColumns count="4">
    <tableColumn name="Item / Name" id="1"/>
    <tableColumn name="Date" id="2"/>
    <tableColumn name="Amount (₱)" id="3"/>
    <tableColumn name="Status / Done?" id="4"/>
  </tableColumns>
  <tableStyleInfo name="October-style 2" showColumnStripes="0" showFirstColumn="1" showLastColumn="1" showRowStripes="1"/>
</table>
</file>

<file path=xl/tables/table9.xml><?xml version="1.0" encoding="utf-8"?>
<table xmlns="http://schemas.openxmlformats.org/spreadsheetml/2006/main" ref="B19:E23" displayName="Table_8" name="Table_8" id="9">
  <tableColumns count="4">
    <tableColumn name="Item / Name" id="1"/>
    <tableColumn name="Date" id="2"/>
    <tableColumn name="Amount (₱)" id="3"/>
    <tableColumn name="Status / Done?" id="4"/>
  </tableColumns>
  <tableStyleInfo name="October-style 3" showColumnStripes="0" showFirstColumn="1" showLastColumn="1" showRowStripes="1"/>
</table>
</file>

<file path=xl/tables/table10.xml><?xml version="1.0" encoding="utf-8"?>
<table xmlns="http://schemas.openxmlformats.org/spreadsheetml/2006/main" headerRowCount="0" ref="B4:D9" displayName="Table_4" name="Table_4" id="4">
  <tableColumns count="3">
    <tableColumn name="Column1" id="1"/>
    <tableColumn name="Column2" id="2"/>
    <tableColumn name="Column3" id="3"/>
  </tableColumns>
  <tableStyleInfo name="Novemb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B12:E16" displayName="Table_9" name="Table_9" id="7">
  <tableColumns count="4">
    <tableColumn name="Item / Name" id="1"/>
    <tableColumn name="Date" id="2"/>
    <tableColumn name="Amount (₱)" id="3"/>
    <tableColumn name="Status / Done?" id="4"/>
  </tableColumns>
  <tableStyleInfo name="November-style 2" showColumnStripes="0" showFirstColumn="1" showLastColumn="1" showRowStripes="1"/>
</table>
</file>

<file path=xl/tables/table12.xml><?xml version="1.0" encoding="utf-8"?>
<table xmlns="http://schemas.openxmlformats.org/spreadsheetml/2006/main" ref="B19:E23" displayName="Table_11" name="Table_11" id="11">
  <tableColumns count="4">
    <tableColumn name="Item / Name" id="1"/>
    <tableColumn name="Date" id="2"/>
    <tableColumn name="Amount (₱)" id="3"/>
    <tableColumn name="Status / Done?" id="4"/>
  </tableColumns>
  <tableStyleInfo name="November-style 3" showColumnStripes="0" showFirstColumn="1" showLastColumn="1" showRowStripes="1"/>
</table>
</file>

<file path=xl/tables/table13.xml><?xml version="1.0" encoding="utf-8"?>
<table xmlns="http://schemas.openxmlformats.org/spreadsheetml/2006/main" headerRowCount="0" ref="B4:D9" displayName="Table_13" name="Table_13" id="13">
  <tableColumns count="3">
    <tableColumn name="Column1" id="1"/>
    <tableColumn name="Column2" id="2"/>
    <tableColumn name="Column3" id="3"/>
  </tableColumns>
  <tableStyleInfo name="Decemb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B12:E16" displayName="Table_14" name="Table_14" id="14">
  <tableColumns count="4">
    <tableColumn name="Item / Name" id="1"/>
    <tableColumn name="Date" id="2"/>
    <tableColumn name="Amount (₱)" id="3"/>
    <tableColumn name="Status / Done?" id="4"/>
  </tableColumns>
  <tableStyleInfo name="December-style 2" showColumnStripes="0" showFirstColumn="1" showLastColumn="1" showRowStripes="1"/>
</table>
</file>

<file path=xl/tables/table15.xml><?xml version="1.0" encoding="utf-8"?>
<table xmlns="http://schemas.openxmlformats.org/spreadsheetml/2006/main" ref="B19:E23" displayName="Table_15" name="Table_15" id="15">
  <tableColumns count="4">
    <tableColumn name="Item / Name" id="1"/>
    <tableColumn name="Date" id="2"/>
    <tableColumn name="Amount (₱)" id="3"/>
    <tableColumn name="Status / Done?" id="4"/>
  </tableColumns>
  <tableStyleInfo name="December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3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5" width="15.13"/>
    <col customWidth="1" min="6" max="6" width="15.88"/>
    <col customWidth="1" min="7" max="7" width="17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6"/>
      <c r="C4" s="6"/>
      <c r="D4" s="6"/>
      <c r="E4" s="6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13</v>
      </c>
      <c r="B5" s="6"/>
      <c r="C5" s="6"/>
      <c r="D5" s="6"/>
      <c r="E5" s="6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14</v>
      </c>
      <c r="B6" s="6"/>
      <c r="C6" s="6"/>
      <c r="D6" s="6"/>
      <c r="E6" s="6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16</v>
      </c>
      <c r="B7" s="6"/>
      <c r="C7" s="6"/>
      <c r="D7" s="6"/>
      <c r="E7" s="6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17</v>
      </c>
      <c r="B8" s="6"/>
      <c r="C8" s="6"/>
      <c r="D8" s="6"/>
      <c r="E8" s="6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6"/>
      <c r="C9" s="6"/>
      <c r="D9" s="6"/>
      <c r="E9" s="6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20</v>
      </c>
      <c r="B10" s="6"/>
      <c r="C10" s="6"/>
      <c r="D10" s="6"/>
      <c r="E10" s="6"/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21</v>
      </c>
      <c r="B11" s="6"/>
      <c r="C11" s="6"/>
      <c r="D11" s="6"/>
      <c r="E11" s="6"/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23</v>
      </c>
      <c r="B12" s="6">
        <f>September!E7</f>
        <v>16925</v>
      </c>
      <c r="C12" s="6">
        <f>September!E8</f>
        <v>-1916.38</v>
      </c>
      <c r="D12" s="6">
        <f>September!E9</f>
        <v>15008.62</v>
      </c>
      <c r="E12" s="6">
        <f>September!E17+September!E26</f>
        <v>10214</v>
      </c>
      <c r="F12" s="6">
        <f>September!E35</f>
        <v>4794.62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27</v>
      </c>
      <c r="B13" s="6">
        <f>October!D7</f>
        <v>16925</v>
      </c>
      <c r="C13" s="6">
        <f>October!D8</f>
        <v>-1916.38</v>
      </c>
      <c r="D13" s="6">
        <f>October!D9</f>
        <v>15008.62</v>
      </c>
      <c r="E13" s="6">
        <f>October!D16+October!D23</f>
        <v>0</v>
      </c>
      <c r="F13" s="6">
        <f>October!D26</f>
        <v>15008.62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31</v>
      </c>
      <c r="B14" s="6">
        <f>November!D7</f>
        <v>16925</v>
      </c>
      <c r="C14" s="6">
        <f>November!D8</f>
        <v>-1916.38</v>
      </c>
      <c r="D14" s="6">
        <f>November!D9</f>
        <v>15008.62</v>
      </c>
      <c r="E14" s="6">
        <f>November!D16+November!D23</f>
        <v>0</v>
      </c>
      <c r="F14" s="6">
        <f>November!D26</f>
        <v>15008.62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6">
        <f>December!D7</f>
        <v>16925</v>
      </c>
      <c r="C15" s="6">
        <f>December!D8</f>
        <v>-1916.38</v>
      </c>
      <c r="D15" s="6">
        <f>December!D9</f>
        <v>15008.62</v>
      </c>
      <c r="E15" s="6">
        <f>December!D16+December!D23</f>
        <v>0</v>
      </c>
      <c r="F15" s="6">
        <f>December!D26</f>
        <v>15008.62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 t="s">
        <v>41</v>
      </c>
      <c r="B16" s="11">
        <f t="shared" ref="B16:F16" si="1">SUM(B12:B15)</f>
        <v>67700</v>
      </c>
      <c r="C16" s="11">
        <f t="shared" si="1"/>
        <v>-7665.52</v>
      </c>
      <c r="D16" s="11">
        <f t="shared" si="1"/>
        <v>60034.48</v>
      </c>
      <c r="E16" s="11">
        <f t="shared" si="1"/>
        <v>10214</v>
      </c>
      <c r="F16" s="11">
        <f t="shared" si="1"/>
        <v>49820.48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25.13"/>
    <col customWidth="1" min="4" max="4" width="12.63"/>
    <col customWidth="1" min="5" max="6" width="15.13"/>
    <col customWidth="1" min="7" max="7" width="18.25"/>
    <col customWidth="1" min="8" max="8" width="26.5"/>
    <col customWidth="1" min="9" max="9" width="8.38"/>
    <col customWidth="1" min="10" max="10" width="21.25"/>
    <col customWidth="1" min="11" max="11" width="21.13"/>
    <col customWidth="1" min="12" max="12" width="14.5"/>
    <col customWidth="1" min="13" max="13" width="26.88"/>
    <col customWidth="1" min="14" max="14" width="9.25"/>
  </cols>
  <sheetData>
    <row r="1">
      <c r="A1" s="2"/>
      <c r="B1" s="2"/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2"/>
      <c r="B3" s="2"/>
      <c r="C3" s="4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2"/>
      <c r="B4" s="2"/>
      <c r="C4" s="3" t="s">
        <v>12</v>
      </c>
      <c r="D4" s="7"/>
      <c r="E4" s="3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2"/>
      <c r="B5" s="2"/>
      <c r="C5" s="5" t="s">
        <v>18</v>
      </c>
      <c r="D5" s="8"/>
      <c r="E5" s="9">
        <v>14925.0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2"/>
      <c r="B6" s="2"/>
      <c r="C6" s="5" t="s">
        <v>22</v>
      </c>
      <c r="D6" s="8"/>
      <c r="E6" s="9">
        <v>2000.0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2"/>
      <c r="B7" s="2"/>
      <c r="C7" s="5" t="s">
        <v>24</v>
      </c>
      <c r="D7" s="8"/>
      <c r="E7" s="6">
        <f>SUM(E5:E6)</f>
        <v>16925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2"/>
      <c r="B8" s="2"/>
      <c r="C8" s="5" t="s">
        <v>25</v>
      </c>
      <c r="D8" s="8"/>
      <c r="E8" s="9">
        <v>-1916.38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2"/>
      <c r="B9" s="2"/>
      <c r="C9" s="10" t="s">
        <v>26</v>
      </c>
      <c r="D9" s="8"/>
      <c r="E9" s="11">
        <f>SUM(E7:E8)</f>
        <v>15008.62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"/>
      <c r="B11" s="2"/>
      <c r="C11" s="4" t="s">
        <v>28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"/>
      <c r="B12" s="2"/>
      <c r="C12" s="3" t="s">
        <v>12</v>
      </c>
      <c r="D12" s="3" t="s">
        <v>29</v>
      </c>
      <c r="E12" s="3" t="s">
        <v>15</v>
      </c>
      <c r="F12" s="3" t="s">
        <v>30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"/>
      <c r="B13" s="2"/>
      <c r="C13" s="5" t="s">
        <v>32</v>
      </c>
      <c r="D13" s="8"/>
      <c r="E13" s="9">
        <v>400.0</v>
      </c>
      <c r="F13" s="5" t="s">
        <v>33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"/>
      <c r="B14" s="2"/>
      <c r="C14" s="5" t="s">
        <v>35</v>
      </c>
      <c r="D14" s="8"/>
      <c r="E14" s="9">
        <v>300.0</v>
      </c>
      <c r="F14" s="5" t="s">
        <v>33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"/>
      <c r="B15" s="2"/>
      <c r="C15" s="5" t="s">
        <v>37</v>
      </c>
      <c r="D15" s="8"/>
      <c r="E15" s="9">
        <v>3300.0</v>
      </c>
      <c r="F15" s="5" t="s">
        <v>33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"/>
      <c r="B16" s="2"/>
      <c r="C16" s="5" t="s">
        <v>38</v>
      </c>
      <c r="D16" s="5" t="s">
        <v>39</v>
      </c>
      <c r="E16" s="9">
        <v>1000.0</v>
      </c>
      <c r="F16" s="5" t="s">
        <v>33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/>
      <c r="B17" s="2"/>
      <c r="C17" s="10" t="s">
        <v>36</v>
      </c>
      <c r="D17" s="8"/>
      <c r="E17" s="11">
        <f>SUM(E13:E16)</f>
        <v>5000</v>
      </c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"/>
      <c r="B19" s="2"/>
      <c r="C19" s="4" t="s">
        <v>40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"/>
      <c r="B20" s="2"/>
      <c r="C20" s="3" t="s">
        <v>12</v>
      </c>
      <c r="D20" s="3" t="s">
        <v>29</v>
      </c>
      <c r="E20" s="3" t="s">
        <v>15</v>
      </c>
      <c r="F20" s="3" t="s">
        <v>30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"/>
      <c r="B21" s="2"/>
      <c r="C21" s="5" t="s">
        <v>42</v>
      </c>
      <c r="D21" s="5"/>
      <c r="E21" s="9">
        <v>2000.0</v>
      </c>
      <c r="F21" s="5" t="s">
        <v>33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"/>
      <c r="B22" s="2"/>
      <c r="C22" s="5" t="s">
        <v>43</v>
      </c>
      <c r="D22" s="5"/>
      <c r="E22" s="9">
        <v>1500.0</v>
      </c>
      <c r="F22" s="5" t="s">
        <v>33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"/>
      <c r="B23" s="2"/>
      <c r="C23" s="5" t="s">
        <v>47</v>
      </c>
      <c r="D23" s="5"/>
      <c r="E23" s="9">
        <v>500.0</v>
      </c>
      <c r="F23" s="5" t="s">
        <v>33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5.75" customHeight="1">
      <c r="A24" s="2"/>
      <c r="B24" s="2"/>
      <c r="C24" s="5" t="s">
        <v>48</v>
      </c>
      <c r="D24" s="5"/>
      <c r="E24" s="9">
        <v>214.0</v>
      </c>
      <c r="F24" s="5" t="s">
        <v>33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5.75" customHeight="1">
      <c r="A25" s="2"/>
      <c r="B25" s="2"/>
      <c r="C25" s="5" t="s">
        <v>49</v>
      </c>
      <c r="D25" s="5"/>
      <c r="E25" s="9">
        <v>1000.0</v>
      </c>
      <c r="F25" s="5" t="s">
        <v>33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2"/>
      <c r="C26" s="10" t="s">
        <v>44</v>
      </c>
      <c r="D26" s="8"/>
      <c r="E26" s="11">
        <f>SUM(E21:E25)</f>
        <v>5214</v>
      </c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15" t="s">
        <v>50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3" t="s">
        <v>12</v>
      </c>
      <c r="D29" s="3" t="s">
        <v>29</v>
      </c>
      <c r="E29" s="3" t="s">
        <v>15</v>
      </c>
      <c r="F29" s="3" t="s">
        <v>30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5" t="s">
        <v>51</v>
      </c>
      <c r="D30" s="16">
        <v>46296.0</v>
      </c>
      <c r="E30" s="9">
        <v>100.0</v>
      </c>
      <c r="F30" s="5" t="s">
        <v>33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5" t="s">
        <v>52</v>
      </c>
      <c r="D31" s="5" t="s">
        <v>53</v>
      </c>
      <c r="E31" s="9">
        <v>100.0</v>
      </c>
      <c r="F31" s="5" t="s">
        <v>54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5" t="s">
        <v>55</v>
      </c>
      <c r="D32" s="5" t="s">
        <v>56</v>
      </c>
      <c r="E32" s="9">
        <v>100.0</v>
      </c>
      <c r="F32" s="5" t="s">
        <v>54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17"/>
      <c r="D33" s="17"/>
      <c r="E33" s="18"/>
      <c r="F33" s="1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4" t="s">
        <v>45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19" t="s">
        <v>46</v>
      </c>
      <c r="D35" s="20"/>
      <c r="E35" s="21">
        <f>E9-E17-E26</f>
        <v>4794.62</v>
      </c>
      <c r="F35" s="1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</sheetData>
  <mergeCells count="1">
    <mergeCell ref="C28:E28"/>
  </mergeCells>
  <dataValidations>
    <dataValidation type="list" allowBlank="1" sqref="F13:F16 F21:F25 F30:F33">
      <formula1>"Done,Pending,Missed (if there is a due date)"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5.13"/>
    <col customWidth="1" min="3" max="3" width="12.63"/>
    <col customWidth="1" min="4" max="5" width="15.13"/>
    <col customWidth="1" min="7" max="7" width="14.13"/>
    <col customWidth="1" min="8" max="8" width="8.38"/>
    <col customWidth="1" min="9" max="9" width="21.25"/>
    <col customWidth="1" min="10" max="10" width="21.13"/>
    <col customWidth="1" min="11" max="11" width="6.13"/>
    <col customWidth="1" min="12" max="12" width="17.25"/>
    <col customWidth="1" min="13" max="13" width="9.25"/>
  </cols>
  <sheetData>
    <row r="1">
      <c r="A1" s="2"/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/>
      <c r="B4" s="3" t="s">
        <v>12</v>
      </c>
      <c r="C4" s="7"/>
      <c r="D4" s="3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2"/>
      <c r="B5" s="5" t="s">
        <v>18</v>
      </c>
      <c r="C5" s="8"/>
      <c r="D5" s="9">
        <v>14925.0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2"/>
      <c r="B6" s="5" t="s">
        <v>22</v>
      </c>
      <c r="C6" s="8"/>
      <c r="D6" s="9">
        <v>2000.0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"/>
      <c r="B7" s="5" t="s">
        <v>24</v>
      </c>
      <c r="C7" s="8"/>
      <c r="D7" s="6">
        <f>SUM(D5:D6)</f>
        <v>16925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2"/>
      <c r="B8" s="5" t="s">
        <v>25</v>
      </c>
      <c r="C8" s="8"/>
      <c r="D8" s="9">
        <v>-1916.38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"/>
      <c r="B9" s="5" t="s">
        <v>26</v>
      </c>
      <c r="C9" s="8"/>
      <c r="D9" s="6">
        <f>SUM(D7:D8)</f>
        <v>15008.62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/>
      <c r="B11" s="4" t="s">
        <v>28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/>
      <c r="B12" s="3" t="s">
        <v>12</v>
      </c>
      <c r="C12" s="3" t="s">
        <v>29</v>
      </c>
      <c r="D12" s="3" t="s">
        <v>15</v>
      </c>
      <c r="E12" s="3" t="s">
        <v>30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/>
      <c r="B13" s="8"/>
      <c r="C13" s="8"/>
      <c r="D13" s="6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/>
      <c r="B14" s="8"/>
      <c r="C14" s="8"/>
      <c r="D14" s="6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/>
      <c r="B15" s="8"/>
      <c r="C15" s="8"/>
      <c r="D15" s="6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5" t="s">
        <v>36</v>
      </c>
      <c r="C16" s="8"/>
      <c r="D16" s="6">
        <f>SUM(D13:D15)</f>
        <v>0</v>
      </c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4" t="s">
        <v>40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3" t="s">
        <v>12</v>
      </c>
      <c r="C19" s="3" t="s">
        <v>29</v>
      </c>
      <c r="D19" s="3" t="s">
        <v>15</v>
      </c>
      <c r="E19" s="3" t="s">
        <v>30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5" t="s">
        <v>42</v>
      </c>
      <c r="C20" s="8"/>
      <c r="D20" s="6"/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5" t="s">
        <v>43</v>
      </c>
      <c r="C21" s="8"/>
      <c r="D21" s="6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8"/>
      <c r="C22" s="8"/>
      <c r="D22" s="6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5" t="s">
        <v>44</v>
      </c>
      <c r="C23" s="8"/>
      <c r="D23" s="6">
        <f>SUM(D20:D22)</f>
        <v>0</v>
      </c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4" t="s">
        <v>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4" t="s">
        <v>46</v>
      </c>
      <c r="C26" s="13"/>
      <c r="D26" s="14">
        <f>D9-D16-D23</f>
        <v>15008.62</v>
      </c>
      <c r="E26" s="1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dataValidations>
    <dataValidation type="list" allowBlank="1" sqref="E13:E15 E20:E22">
      <formula1>"Done,Pending,Missed (if there is a due date)"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5.13"/>
    <col customWidth="1" min="3" max="3" width="12.63"/>
    <col customWidth="1" min="4" max="5" width="15.13"/>
    <col customWidth="1" min="7" max="7" width="14.13"/>
    <col customWidth="1" min="8" max="8" width="8.38"/>
    <col customWidth="1" min="9" max="9" width="21.25"/>
    <col customWidth="1" min="10" max="10" width="21.13"/>
    <col customWidth="1" min="11" max="11" width="6.13"/>
    <col customWidth="1" min="12" max="12" width="17.25"/>
    <col customWidth="1" min="13" max="13" width="9.25"/>
  </cols>
  <sheetData>
    <row r="1">
      <c r="A1" s="2"/>
      <c r="B1" s="1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/>
      <c r="B4" s="3" t="s">
        <v>12</v>
      </c>
      <c r="C4" s="7"/>
      <c r="D4" s="3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2"/>
      <c r="B5" s="5" t="s">
        <v>18</v>
      </c>
      <c r="C5" s="8"/>
      <c r="D5" s="9">
        <v>14925.0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2"/>
      <c r="B6" s="5" t="s">
        <v>22</v>
      </c>
      <c r="C6" s="8"/>
      <c r="D6" s="9">
        <v>2000.0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"/>
      <c r="B7" s="5" t="s">
        <v>24</v>
      </c>
      <c r="C7" s="8"/>
      <c r="D7" s="6">
        <f>SUM(D5:D6)</f>
        <v>16925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2"/>
      <c r="B8" s="5" t="s">
        <v>25</v>
      </c>
      <c r="C8" s="8"/>
      <c r="D8" s="9">
        <v>-1916.38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"/>
      <c r="B9" s="5" t="s">
        <v>26</v>
      </c>
      <c r="C9" s="8"/>
      <c r="D9" s="6">
        <f>SUM(D7:D8)</f>
        <v>15008.62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/>
      <c r="B11" s="4" t="s">
        <v>28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/>
      <c r="B12" s="3" t="s">
        <v>12</v>
      </c>
      <c r="C12" s="3" t="s">
        <v>29</v>
      </c>
      <c r="D12" s="3" t="s">
        <v>15</v>
      </c>
      <c r="E12" s="3" t="s">
        <v>30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/>
      <c r="B13" s="8"/>
      <c r="C13" s="8"/>
      <c r="D13" s="6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/>
      <c r="B14" s="8"/>
      <c r="C14" s="8"/>
      <c r="D14" s="6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/>
      <c r="B15" s="8"/>
      <c r="C15" s="8"/>
      <c r="D15" s="6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5" t="s">
        <v>36</v>
      </c>
      <c r="C16" s="8"/>
      <c r="D16" s="6">
        <f>SUM(D13:D15)</f>
        <v>0</v>
      </c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4" t="s">
        <v>40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3" t="s">
        <v>12</v>
      </c>
      <c r="C19" s="3" t="s">
        <v>29</v>
      </c>
      <c r="D19" s="3" t="s">
        <v>15</v>
      </c>
      <c r="E19" s="3" t="s">
        <v>30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5" t="s">
        <v>42</v>
      </c>
      <c r="C20" s="8"/>
      <c r="D20" s="6"/>
      <c r="E20" s="5" t="s">
        <v>33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5" t="s">
        <v>43</v>
      </c>
      <c r="C21" s="8"/>
      <c r="D21" s="6"/>
      <c r="E21" s="5" t="s">
        <v>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8"/>
      <c r="C22" s="8"/>
      <c r="D22" s="6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5" t="s">
        <v>44</v>
      </c>
      <c r="C23" s="8"/>
      <c r="D23" s="6">
        <f>SUM(D20:D22)</f>
        <v>0</v>
      </c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4" t="s">
        <v>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4" t="s">
        <v>46</v>
      </c>
      <c r="C26" s="13"/>
      <c r="D26" s="14">
        <f>D9-D16-D23</f>
        <v>15008.62</v>
      </c>
      <c r="E26" s="1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dataValidations>
    <dataValidation type="list" allowBlank="1" sqref="E13:E15 E20:E22">
      <formula1>"Done,Pending,Missed (if there is a due date)"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5.13"/>
    <col customWidth="1" min="3" max="3" width="12.63"/>
    <col customWidth="1" min="4" max="5" width="15.13"/>
    <col customWidth="1" min="7" max="7" width="14.13"/>
    <col customWidth="1" min="8" max="8" width="8.38"/>
    <col customWidth="1" min="9" max="9" width="21.25"/>
    <col customWidth="1" min="10" max="10" width="21.13"/>
    <col customWidth="1" min="11" max="11" width="6.13"/>
    <col customWidth="1" min="12" max="12" width="17.25"/>
    <col customWidth="1" min="13" max="13" width="9.25"/>
  </cols>
  <sheetData>
    <row r="1">
      <c r="A1" s="2"/>
      <c r="B1" s="1" t="s">
        <v>57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/>
      <c r="B4" s="3" t="s">
        <v>12</v>
      </c>
      <c r="C4" s="7"/>
      <c r="D4" s="3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2"/>
      <c r="B5" s="5" t="s">
        <v>18</v>
      </c>
      <c r="C5" s="8"/>
      <c r="D5" s="9">
        <v>14925.0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2"/>
      <c r="B6" s="5" t="s">
        <v>22</v>
      </c>
      <c r="C6" s="8"/>
      <c r="D6" s="9">
        <v>2000.0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"/>
      <c r="B7" s="5" t="s">
        <v>24</v>
      </c>
      <c r="C7" s="8"/>
      <c r="D7" s="6">
        <f>SUM(D5:D6)</f>
        <v>16925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2"/>
      <c r="B8" s="5" t="s">
        <v>25</v>
      </c>
      <c r="C8" s="8"/>
      <c r="D8" s="9">
        <v>-1916.38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"/>
      <c r="B9" s="5" t="s">
        <v>26</v>
      </c>
      <c r="C9" s="8"/>
      <c r="D9" s="6">
        <f>SUM(D7:D8)</f>
        <v>15008.62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/>
      <c r="B11" s="4" t="s">
        <v>28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/>
      <c r="B12" s="3" t="s">
        <v>12</v>
      </c>
      <c r="C12" s="3" t="s">
        <v>29</v>
      </c>
      <c r="D12" s="3" t="s">
        <v>15</v>
      </c>
      <c r="E12" s="3" t="s">
        <v>30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/>
      <c r="B13" s="8"/>
      <c r="C13" s="8"/>
      <c r="D13" s="6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/>
      <c r="B14" s="8"/>
      <c r="C14" s="8"/>
      <c r="D14" s="6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/>
      <c r="B15" s="8"/>
      <c r="C15" s="8"/>
      <c r="D15" s="6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5" t="s">
        <v>36</v>
      </c>
      <c r="C16" s="8"/>
      <c r="D16" s="6">
        <f>SUM(D13:D15)</f>
        <v>0</v>
      </c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4" t="s">
        <v>40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3" t="s">
        <v>12</v>
      </c>
      <c r="C19" s="3" t="s">
        <v>29</v>
      </c>
      <c r="D19" s="3" t="s">
        <v>15</v>
      </c>
      <c r="E19" s="3" t="s">
        <v>30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5" t="s">
        <v>42</v>
      </c>
      <c r="C20" s="8"/>
      <c r="D20" s="6"/>
      <c r="E20" s="5" t="s">
        <v>33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5" t="s">
        <v>43</v>
      </c>
      <c r="C21" s="8"/>
      <c r="D21" s="6"/>
      <c r="E21" s="5" t="s">
        <v>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8"/>
      <c r="C22" s="8"/>
      <c r="D22" s="6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5" t="s">
        <v>44</v>
      </c>
      <c r="C23" s="8"/>
      <c r="D23" s="6">
        <f>SUM(D20:D22)</f>
        <v>0</v>
      </c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4" t="s">
        <v>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4" t="s">
        <v>46</v>
      </c>
      <c r="C26" s="13"/>
      <c r="D26" s="14">
        <f>D9-D16-D23</f>
        <v>15008.62</v>
      </c>
      <c r="E26" s="1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dataValidations>
    <dataValidation type="list" allowBlank="1" sqref="E13:E15 E20:E22">
      <formula1>"Done,Pending,Missed (if there is a due date)"</formula1>
    </dataValidation>
  </dataValidations>
  <drawing r:id="rId1"/>
  <tableParts count="3">
    <tablePart r:id="rId5"/>
    <tablePart r:id="rId6"/>
    <tablePart r:id="rId7"/>
  </tableParts>
</worksheet>
</file>